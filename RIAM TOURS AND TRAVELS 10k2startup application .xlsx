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nju RMAGAR\AppData\Local\Packages\5319275A.WhatsAppDesktop_cv1g1gvanyjgm\LocalState\sessions\739C0E975C66226A7791B3E0FD478E88CCD25D16\transfers\2026-21\"/>
    </mc:Choice>
  </mc:AlternateContent>
  <xr:revisionPtr revIDLastSave="0" documentId="13_ncr:1_{7EC8372B-9085-456F-96DF-CE3CCF676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START" sheetId="1" r:id="rId1"/>
    <sheet name="2. Customer and Product" sheetId="2" r:id="rId2"/>
    <sheet name="3. Market Sizing 2" sheetId="3" r:id="rId3"/>
    <sheet name="4. Uses of Funds" sheetId="4" r:id="rId4"/>
    <sheet name="5. Team and Org." sheetId="5" r:id="rId5"/>
    <sheet name="6. SUBMI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10" i="5"/>
  <c r="B9" i="5"/>
  <c r="B8" i="5"/>
  <c r="B7" i="5"/>
  <c r="D25" i="4"/>
  <c r="D27" i="4" s="1"/>
  <c r="F38" i="3"/>
  <c r="E38" i="3"/>
  <c r="D38" i="3"/>
  <c r="C38" i="3"/>
  <c r="F36" i="3"/>
  <c r="E36" i="3"/>
  <c r="D36" i="3"/>
  <c r="C36" i="3"/>
  <c r="F28" i="3"/>
  <c r="E28" i="3"/>
  <c r="D28" i="3"/>
  <c r="C28" i="3"/>
  <c r="C5" i="3"/>
  <c r="C8" i="3" s="1"/>
  <c r="C11" i="3" s="1"/>
  <c r="C14" i="3" s="1"/>
  <c r="C17" i="3" s="1"/>
  <c r="C20" i="3" s="1"/>
  <c r="C23" i="3" s="1"/>
  <c r="C30" i="3" s="1"/>
  <c r="C3" i="3"/>
  <c r="D3" i="3" s="1"/>
  <c r="E3" i="3" s="1"/>
  <c r="F3" i="3" s="1"/>
  <c r="D5" i="3" l="1"/>
  <c r="D8" i="3" l="1"/>
  <c r="D11" i="3" s="1"/>
  <c r="D14" i="3" s="1"/>
  <c r="D17" i="3" s="1"/>
  <c r="D20" i="3" s="1"/>
  <c r="D23" i="3" s="1"/>
  <c r="D30" i="3" s="1"/>
  <c r="E5" i="3"/>
  <c r="F5" i="3" l="1"/>
  <c r="F8" i="3" s="1"/>
  <c r="F11" i="3" s="1"/>
  <c r="F14" i="3" s="1"/>
  <c r="F17" i="3" s="1"/>
  <c r="F20" i="3" s="1"/>
  <c r="F23" i="3" s="1"/>
  <c r="F30" i="3" s="1"/>
  <c r="E8" i="3"/>
  <c r="E11" i="3" s="1"/>
  <c r="E14" i="3" s="1"/>
  <c r="E17" i="3" s="1"/>
  <c r="E20" i="3" s="1"/>
  <c r="E23" i="3" s="1"/>
  <c r="E30" i="3" s="1"/>
</calcChain>
</file>

<file path=xl/sharedStrings.xml><?xml version="1.0" encoding="utf-8"?>
<sst xmlns="http://schemas.openxmlformats.org/spreadsheetml/2006/main" count="98" uniqueCount="98">
  <si>
    <t>Is Your Business Registered?</t>
  </si>
  <si>
    <t>In Which Country are most of the Founders based?</t>
  </si>
  <si>
    <t>Who are the Founders?</t>
  </si>
  <si>
    <t>[Founder 1]</t>
  </si>
  <si>
    <t>[Founder 2]</t>
  </si>
  <si>
    <t>[Founder 3]</t>
  </si>
  <si>
    <t>[Founder 4]</t>
  </si>
  <si>
    <t>If your business is registered:</t>
  </si>
  <si>
    <t>In Which Country is it Registered</t>
  </si>
  <si>
    <t>[Your Business Name]</t>
  </si>
  <si>
    <t>We look to fund from USD 10,000 to USD 50,000, as a guide only</t>
  </si>
  <si>
    <t>What stage are you at in Your Business?</t>
  </si>
  <si>
    <t>How much are you looking to receive in funding?</t>
  </si>
  <si>
    <t>If Already In-Market</t>
  </si>
  <si>
    <t>How much revenue did you make in the last 12 months (USD)</t>
  </si>
  <si>
    <t>A few Useful Tips:</t>
  </si>
  <si>
    <t>Don't feel compelled to fill all the numerated rows or column, e.g. '1, 2, 3, 4....' or 'A, B, C, D....'. Simply fill in as many as are relevant to you</t>
  </si>
  <si>
    <r>
      <rPr>
        <sz val="10"/>
        <color theme="1"/>
        <rFont val="Maven Pro"/>
      </rPr>
      <t>For example, in the "</t>
    </r>
    <r>
      <rPr>
        <b/>
        <sz val="10"/>
        <color theme="1"/>
        <rFont val="Maven Pro"/>
      </rPr>
      <t>Who are the Founders?</t>
    </r>
    <r>
      <rPr>
        <sz val="10"/>
        <color theme="1"/>
        <rFont val="Maven Pro"/>
      </rPr>
      <t>" box above, we give the option to list 4 Founders. If you only have 2, list those two and ignore the remaining rows</t>
    </r>
  </si>
  <si>
    <t>The default currency for this submission in USD. If you wish to change to a currency you are more familiar with, please indicate in the tab 'Pricing Benchmark'</t>
  </si>
  <si>
    <t>Please use the same currency throughout your submission</t>
  </si>
  <si>
    <t>Describe your Product or Service Offering?</t>
  </si>
  <si>
    <t>What do you call your product or service?</t>
  </si>
  <si>
    <t>Tell us more about your product or service</t>
  </si>
  <si>
    <t>What are the key features that distinguish your product/offering?</t>
  </si>
  <si>
    <t>"Unique Selling Proposition", meaning "What makes your product or service unique?"</t>
  </si>
  <si>
    <t>Who's the primary segment for your product or service? Describe them</t>
  </si>
  <si>
    <t>Who are your closest competitors? Describe 2-3 ways in which your offering is similar to or different from that of your competitors</t>
  </si>
  <si>
    <t>What is the price of your core product or service variant? How does this compare to the average price of the most similar competitors' products?</t>
  </si>
  <si>
    <t>Product / Service Name</t>
  </si>
  <si>
    <t>Description</t>
  </si>
  <si>
    <t>Key Features or Attributes</t>
  </si>
  <si>
    <t>What's your USP?</t>
  </si>
  <si>
    <t>Primary Segment?</t>
  </si>
  <si>
    <t>Competition and Alternatives</t>
  </si>
  <si>
    <t>Pricing</t>
  </si>
  <si>
    <t>For the Year Ending Dec 31,</t>
  </si>
  <si>
    <t>START BELOW</t>
  </si>
  <si>
    <t>MARKET UNIVERSE (Customers)</t>
  </si>
  <si>
    <t>Expected Growth</t>
  </si>
  <si>
    <t>Addressable Level 1</t>
  </si>
  <si>
    <t>Customer Filter 1 %</t>
  </si>
  <si>
    <t>Addressable Level 2</t>
  </si>
  <si>
    <t>Customer Filter 2 %</t>
  </si>
  <si>
    <t>Addressable Level 3</t>
  </si>
  <si>
    <t>Customer Filter 3 %</t>
  </si>
  <si>
    <t>Addressable Level 4</t>
  </si>
  <si>
    <t>Customer Filter 4 %</t>
  </si>
  <si>
    <t>Addressable Level 5</t>
  </si>
  <si>
    <t>Market Adoption %</t>
  </si>
  <si>
    <t>FINAL ADDRESSABLE MARKET SIZE</t>
  </si>
  <si>
    <t>MARKET ASSUMPTIONS</t>
  </si>
  <si>
    <t>Section below helps to estimate the total addressable market</t>
  </si>
  <si>
    <t>Avg. Price per Offering</t>
  </si>
  <si>
    <t>No. of Purchases per Customer/Year</t>
  </si>
  <si>
    <t>Revenue/Customer per Year</t>
  </si>
  <si>
    <t>Market Revenue Potential</t>
  </si>
  <si>
    <t>YOUR COMPANY PROJECTIONS</t>
  </si>
  <si>
    <t>Section below helps to capture your revenue projections</t>
  </si>
  <si>
    <t>No. of Customers</t>
  </si>
  <si>
    <t>Avg No. of Purchases per Customer/Year</t>
  </si>
  <si>
    <t>Your Avg Price per Purchase</t>
  </si>
  <si>
    <t>Revenue/Customer/Year</t>
  </si>
  <si>
    <t>Total Projected Revenue</t>
  </si>
  <si>
    <t>Currency</t>
  </si>
  <si>
    <t>USD</t>
  </si>
  <si>
    <t xml:space="preserve">Please detail below the main uses of funds for the investment amount you indicated in </t>
  </si>
  <si>
    <t>the "OVERVIEW" tab</t>
  </si>
  <si>
    <t>Cost Category</t>
  </si>
  <si>
    <t>Cost Item / Description</t>
  </si>
  <si>
    <t>Yr 1 Cost</t>
  </si>
  <si>
    <t>TOTAL</t>
  </si>
  <si>
    <t>Check: this should be zero ('0') if total use of funds matches requested funding:</t>
  </si>
  <si>
    <t>Tell Us About Your Team</t>
  </si>
  <si>
    <t>What role does each member occupy in your team?</t>
  </si>
  <si>
    <t>What have you done in the past, professionally, academically, entrepreneurially, personally?</t>
  </si>
  <si>
    <t>How much of team member's time will be dedicated to your business</t>
  </si>
  <si>
    <t>How much do you expect to pay yourselves in Year 1?</t>
  </si>
  <si>
    <t>When you're not trying to grow a billion dollar business, what are you doing?</t>
  </si>
  <si>
    <t>Key Team Member</t>
  </si>
  <si>
    <t>Role</t>
  </si>
  <si>
    <t>Background</t>
  </si>
  <si>
    <t>Time Commitment, Year 1</t>
  </si>
  <si>
    <t>Expected Compensation, Year 1</t>
  </si>
  <si>
    <t>Favorite Hobby</t>
  </si>
  <si>
    <t>What is the biggest Opportunity for and Risk to your business?</t>
  </si>
  <si>
    <t>Biggest Opportunity</t>
  </si>
  <si>
    <t>How Will Your Capture this Opportunity</t>
  </si>
  <si>
    <t xml:space="preserve">Biggest Risk </t>
  </si>
  <si>
    <t>How would you mitigate this risk?</t>
  </si>
  <si>
    <t>Visit the link below to submit your final application</t>
  </si>
  <si>
    <t>Only submit your application when you have filled out all the fields</t>
  </si>
  <si>
    <t>SUBMIT APPLICATION</t>
  </si>
  <si>
    <t>How to SUBMIT:</t>
  </si>
  <si>
    <t>1. Copy the URL of your Google Sheet 10k2startup application in the navigation bar</t>
  </si>
  <si>
    <r>
      <rPr>
        <sz val="10"/>
        <color theme="1"/>
        <rFont val="Maven Pro"/>
      </rPr>
      <t xml:space="preserve">2. Click on </t>
    </r>
    <r>
      <rPr>
        <b/>
        <sz val="10"/>
        <color theme="1"/>
        <rFont val="Maven Pro"/>
      </rPr>
      <t>SUBMIT APPLICATION</t>
    </r>
    <r>
      <rPr>
        <sz val="10"/>
        <color theme="1"/>
        <rFont val="Maven Pro"/>
      </rPr>
      <t xml:space="preserve"> link above</t>
    </r>
  </si>
  <si>
    <t>3. Fill in the submission form details</t>
  </si>
  <si>
    <r>
      <rPr>
        <sz val="10"/>
        <color theme="1"/>
        <rFont val="Maven Pro"/>
      </rPr>
      <t>4. Paste in your application URL in the '</t>
    </r>
    <r>
      <rPr>
        <b/>
        <sz val="10"/>
        <color theme="1"/>
        <rFont val="Maven Pro"/>
      </rPr>
      <t>Google Sheet Link</t>
    </r>
    <r>
      <rPr>
        <sz val="10"/>
        <color theme="1"/>
        <rFont val="Maven Pro"/>
      </rPr>
      <t>' field</t>
    </r>
  </si>
  <si>
    <r>
      <rPr>
        <sz val="10"/>
        <color theme="1"/>
        <rFont val="Maven Pro"/>
      </rPr>
      <t>5. Click '</t>
    </r>
    <r>
      <rPr>
        <b/>
        <sz val="10"/>
        <color theme="1"/>
        <rFont val="Maven Pro"/>
      </rPr>
      <t>SUBMIT</t>
    </r>
    <r>
      <rPr>
        <sz val="10"/>
        <color theme="1"/>
        <rFont val="Maven Pro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</si>
</sst>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0.0%"/>
  </numFmts>
  <fonts count="17">
    <font>
      <sz val="10"/>
      <color rgb="FF000000"/>
      <name val="Arial"/>
      <scheme val="minor"/>
    </font>
    <font>
      <sz val="10"/>
      <color theme="1"/>
      <name val="Maven Pro"/>
    </font>
    <font>
      <b/>
      <sz val="18"/>
      <color rgb="FFFF00FF"/>
      <name val="Caveat"/>
    </font>
    <font>
      <b/>
      <sz val="10"/>
      <color theme="1"/>
      <name val="Maven Pro"/>
    </font>
    <font>
      <sz val="10"/>
      <color theme="1"/>
      <name val="Arial"/>
      <scheme val="minor"/>
    </font>
    <font>
      <i/>
      <sz val="10"/>
      <color theme="1"/>
      <name val="Maven Pro"/>
    </font>
    <font>
      <b/>
      <sz val="18"/>
      <color rgb="FF0000FF"/>
      <name val="Maven Pro"/>
    </font>
    <font>
      <i/>
      <sz val="10"/>
      <color rgb="FFFF00FF"/>
      <name val="Maven Pro"/>
    </font>
    <font>
      <b/>
      <sz val="10"/>
      <color rgb="FFFF0000"/>
      <name val="Maven Pro"/>
    </font>
    <font>
      <b/>
      <sz val="10"/>
      <color theme="5"/>
      <name val="Maven Pro"/>
    </font>
    <font>
      <i/>
      <sz val="10"/>
      <color rgb="FFFF0000"/>
      <name val="Maven Pro"/>
    </font>
    <font>
      <sz val="10"/>
      <color rgb="FFFF0000"/>
      <name val="Maven Pro"/>
    </font>
    <font>
      <b/>
      <sz val="10"/>
      <color rgb="FF0000FF"/>
      <name val="Maven Pro"/>
    </font>
    <font>
      <sz val="10"/>
      <color rgb="FFFFFFFF"/>
      <name val="Maven Pro"/>
    </font>
    <font>
      <b/>
      <sz val="10"/>
      <color rgb="FFFFFFFF"/>
      <name val="Maven Pro"/>
    </font>
    <font>
      <b/>
      <sz val="12"/>
      <color theme="1"/>
      <name val="Maven Pro"/>
    </font>
    <font>
      <u/>
      <sz val="10"/>
      <color rgb="FF0000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4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4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164" fontId="1" fillId="3" borderId="0" xfId="0" applyNumberFormat="1" applyFont="1" applyFill="1" applyAlignment="1">
      <alignment wrapText="1"/>
    </xf>
    <xf numFmtId="0" fontId="3" fillId="0" borderId="0" xfId="0" applyFont="1"/>
    <xf numFmtId="0" fontId="6" fillId="2" borderId="0" xfId="0" applyFont="1" applyFill="1" applyAlignment="1">
      <alignment vertical="top"/>
    </xf>
    <xf numFmtId="0" fontId="4" fillId="2" borderId="0" xfId="0" applyFont="1" applyFill="1"/>
    <xf numFmtId="0" fontId="1" fillId="2" borderId="0" xfId="0" applyFont="1" applyFill="1"/>
    <xf numFmtId="0" fontId="3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3" fillId="6" borderId="7" xfId="0" applyFont="1" applyFill="1" applyBorder="1"/>
    <xf numFmtId="0" fontId="8" fillId="0" borderId="0" xfId="0" applyFont="1"/>
    <xf numFmtId="3" fontId="9" fillId="3" borderId="0" xfId="0" applyNumberFormat="1" applyFont="1" applyFill="1"/>
    <xf numFmtId="3" fontId="3" fillId="7" borderId="0" xfId="0" applyNumberFormat="1" applyFont="1" applyFill="1"/>
    <xf numFmtId="0" fontId="1" fillId="7" borderId="0" xfId="0" applyFont="1" applyFill="1"/>
    <xf numFmtId="165" fontId="10" fillId="3" borderId="0" xfId="0" applyNumberFormat="1" applyFont="1" applyFill="1"/>
    <xf numFmtId="3" fontId="3" fillId="8" borderId="0" xfId="0" applyNumberFormat="1" applyFont="1" applyFill="1"/>
    <xf numFmtId="0" fontId="3" fillId="3" borderId="0" xfId="0" applyFont="1" applyFill="1"/>
    <xf numFmtId="9" fontId="10" fillId="3" borderId="0" xfId="0" applyNumberFormat="1" applyFont="1" applyFill="1"/>
    <xf numFmtId="3" fontId="3" fillId="0" borderId="0" xfId="0" applyNumberFormat="1" applyFont="1"/>
    <xf numFmtId="0" fontId="7" fillId="0" borderId="0" xfId="0" applyFont="1"/>
    <xf numFmtId="2" fontId="11" fillId="3" borderId="0" xfId="0" applyNumberFormat="1" applyFont="1" applyFill="1"/>
    <xf numFmtId="0" fontId="11" fillId="3" borderId="0" xfId="0" applyFont="1" applyFill="1"/>
    <xf numFmtId="0" fontId="3" fillId="0" borderId="9" xfId="0" applyFont="1" applyBorder="1"/>
    <xf numFmtId="0" fontId="3" fillId="0" borderId="10" xfId="0" applyFont="1" applyBorder="1"/>
    <xf numFmtId="0" fontId="3" fillId="9" borderId="10" xfId="0" applyFont="1" applyFill="1" applyBorder="1"/>
    <xf numFmtId="0" fontId="3" fillId="9" borderId="11" xfId="0" applyFont="1" applyFill="1" applyBorder="1"/>
    <xf numFmtId="0" fontId="12" fillId="0" borderId="0" xfId="0" applyFont="1"/>
    <xf numFmtId="0" fontId="5" fillId="4" borderId="0" xfId="0" applyFont="1" applyFill="1"/>
    <xf numFmtId="0" fontId="3" fillId="2" borderId="12" xfId="0" applyFont="1" applyFill="1" applyBorder="1"/>
    <xf numFmtId="0" fontId="1" fillId="3" borderId="12" xfId="0" applyFont="1" applyFill="1" applyBorder="1"/>
    <xf numFmtId="0" fontId="3" fillId="0" borderId="12" xfId="0" applyFont="1" applyBorder="1"/>
    <xf numFmtId="0" fontId="1" fillId="0" borderId="12" xfId="0" applyFont="1" applyBorder="1"/>
    <xf numFmtId="164" fontId="7" fillId="0" borderId="0" xfId="0" applyNumberFormat="1" applyFont="1"/>
    <xf numFmtId="0" fontId="5" fillId="4" borderId="7" xfId="0" applyFont="1" applyFill="1" applyBorder="1" applyAlignment="1">
      <alignment wrapText="1"/>
    </xf>
    <xf numFmtId="0" fontId="3" fillId="6" borderId="0" xfId="0" applyFont="1" applyFill="1" applyAlignment="1">
      <alignment vertical="top" wrapText="1"/>
    </xf>
    <xf numFmtId="0" fontId="3" fillId="0" borderId="0" xfId="0" applyFont="1" applyAlignment="1">
      <alignment vertical="top"/>
    </xf>
    <xf numFmtId="0" fontId="1" fillId="3" borderId="0" xfId="0" applyFont="1" applyFill="1"/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3" fillId="7" borderId="0" xfId="0" applyFont="1" applyFill="1" applyAlignment="1">
      <alignment vertical="top" wrapText="1"/>
    </xf>
    <xf numFmtId="0" fontId="13" fillId="7" borderId="0" xfId="0" applyFont="1" applyFill="1"/>
    <xf numFmtId="0" fontId="4" fillId="7" borderId="0" xfId="0" applyFont="1" applyFill="1"/>
    <xf numFmtId="0" fontId="13" fillId="9" borderId="0" xfId="0" applyFont="1" applyFill="1"/>
    <xf numFmtId="0" fontId="13" fillId="9" borderId="0" xfId="0" applyFont="1" applyFill="1" applyAlignment="1">
      <alignment wrapText="1"/>
    </xf>
    <xf numFmtId="0" fontId="14" fillId="9" borderId="0" xfId="0" applyFont="1" applyFill="1" applyAlignment="1">
      <alignment vertical="top" wrapText="1"/>
    </xf>
    <xf numFmtId="0" fontId="16" fillId="0" borderId="0" xfId="0" applyFont="1"/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  <xf numFmtId="0" fontId="15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4. Uses of Funds-style" pivot="0" count="3" xr9:uid="{00000000-0011-0000-FFFF-FFFF00000000}">
      <tableStyleElement type="totalRow" dxfId="6"/>
      <tableStyleElement type="firstRowStripe" dxfId="8"/>
      <tableStyleElement type="secondRowStripe" dxfId="7"/>
    </tableStyle>
    <tableStyle name="5. Team and Org.-style" pivot="0" count="2" xr9:uid="{00000000-0011-0000-FFFF-FFFF01000000}">
      <tableStyleElement type="firstRowStripe" dxfId="5"/>
      <tableStyleElement type="secondRowStripe" dxfId="4"/>
    </tableStyle>
    <tableStyle name="5. Team and Org.-style 2" pivot="0" count="2" xr9:uid="{00000000-0011-0000-FFFF-FFFF02000000}">
      <tableStyleElement type="firstRowStripe" dxfId="3"/>
      <tableStyleElement type="secondRowStripe" dxfId="2"/>
    </tableStyle>
    <tableStyle name="5. Team and Org.-style 3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13</xdr:row>
      <xdr:rowOff>104775</xdr:rowOff>
    </xdr:from>
    <xdr:ext cx="10106025" cy="1943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25" headerRowCount="0" totalsRowCount="1">
  <tableColumns count="4">
    <tableColumn id="1" xr3:uid="{00000000-0010-0000-0000-000001000000}" name="Column1"/>
    <tableColumn id="2" xr3:uid="{00000000-0010-0000-0000-000002000000}" name="Column2" totalsRowLabel="TOTAL"/>
    <tableColumn id="3" xr3:uid="{00000000-0010-0000-0000-000003000000}" name="Column3"/>
    <tableColumn id="4" xr3:uid="{00000000-0010-0000-0000-000004000000}" name="Column4" totalsRowFunction="custom">
      <totalsRowFormula>SUM(D7:D24)</totalsRowFormula>
    </tableColumn>
  </tableColumns>
  <tableStyleInfo name="4. Uses of Fund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F11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5. Team and Org.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7:C17" headerRowCount="0">
  <tableColumns count="2">
    <tableColumn id="1" xr3:uid="{00000000-0010-0000-0200-000001000000}" name="Column1"/>
    <tableColumn id="2" xr3:uid="{00000000-0010-0000-0200-000002000000}" name="Column2"/>
  </tableColumns>
  <tableStyleInfo name="5. Team and Org.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17:F17" headerRowCount="0">
  <tableColumns count="2">
    <tableColumn id="1" xr3:uid="{00000000-0010-0000-0300-000001000000}" name="Column1"/>
    <tableColumn id="2" xr3:uid="{00000000-0010-0000-0300-000002000000}" name="Column2"/>
  </tableColumns>
  <tableStyleInfo name="5. Team and Org.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10k2startup.com/submit-appl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7"/>
  <sheetViews>
    <sheetView showGridLines="0" tabSelected="1" workbookViewId="0"/>
  </sheetViews>
  <sheetFormatPr defaultColWidth="12.5703125" defaultRowHeight="15.75" customHeight="1"/>
  <cols>
    <col min="2" max="8" width="19.7109375" customWidth="1"/>
  </cols>
  <sheetData>
    <row r="1" spans="1:24" ht="15.75" customHeight="1">
      <c r="A1" s="1"/>
      <c r="B1" s="2"/>
      <c r="C1" s="1"/>
      <c r="D1" s="1"/>
      <c r="E1" s="1"/>
      <c r="F1" s="2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>
      <c r="A2" s="1"/>
      <c r="B2" s="2"/>
      <c r="C2" s="1"/>
      <c r="D2" s="2"/>
      <c r="E2" s="1"/>
      <c r="F2" s="2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1"/>
      <c r="B3" s="4" t="s">
        <v>0</v>
      </c>
      <c r="C3" s="1"/>
      <c r="D3" s="4" t="s">
        <v>1</v>
      </c>
      <c r="E3" s="1"/>
      <c r="F3" s="4" t="s">
        <v>2</v>
      </c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1"/>
      <c r="B4" s="5"/>
      <c r="C4" s="1"/>
      <c r="D4" s="5"/>
      <c r="E4" s="1"/>
      <c r="F4" s="5" t="s">
        <v>3</v>
      </c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"/>
      <c r="B5" s="6"/>
      <c r="C5" s="1"/>
      <c r="D5" s="7"/>
      <c r="E5" s="1"/>
      <c r="F5" s="5" t="s">
        <v>4</v>
      </c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1"/>
      <c r="B6" s="7"/>
      <c r="C6" s="8"/>
      <c r="D6" s="7"/>
      <c r="E6" s="1"/>
      <c r="F6" s="5" t="s">
        <v>5</v>
      </c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>
      <c r="A7" s="1"/>
      <c r="B7" s="2"/>
      <c r="C7" s="7"/>
      <c r="D7" s="7"/>
      <c r="E7" s="7"/>
      <c r="F7" s="5" t="s">
        <v>6</v>
      </c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>
      <c r="A8" s="1"/>
      <c r="B8" s="9" t="s">
        <v>7</v>
      </c>
      <c r="C8" s="7"/>
      <c r="D8" s="10"/>
      <c r="E8" s="7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1"/>
      <c r="B9" s="4" t="s">
        <v>8</v>
      </c>
      <c r="C9" s="8"/>
      <c r="D9" s="11" t="s">
        <v>9</v>
      </c>
      <c r="E9" s="12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1"/>
      <c r="B10" s="5"/>
      <c r="C10" s="7"/>
      <c r="D10" s="7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>
      <c r="A11" s="1"/>
      <c r="B11" s="7"/>
      <c r="C11" s="13"/>
      <c r="D11" s="7"/>
      <c r="E11" s="1"/>
      <c r="F11" s="9" t="s">
        <v>10</v>
      </c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>
      <c r="A12" s="2"/>
      <c r="B12" s="4" t="s">
        <v>11</v>
      </c>
      <c r="C12" s="7"/>
      <c r="D12" s="7"/>
      <c r="E12" s="8"/>
      <c r="F12" s="4" t="s">
        <v>12</v>
      </c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1"/>
      <c r="B13" s="5"/>
      <c r="C13" s="7"/>
      <c r="D13" s="1"/>
      <c r="E13" s="1"/>
      <c r="F13" s="14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1"/>
      <c r="B14" s="1"/>
      <c r="C14" s="7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1"/>
      <c r="B15" s="1"/>
      <c r="C15" s="7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/>
      <c r="B16" s="3"/>
      <c r="C16" s="9" t="s">
        <v>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>
      <c r="A17" s="3"/>
      <c r="B17" s="2"/>
      <c r="C17" s="4" t="s">
        <v>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/>
      <c r="B18" s="3"/>
      <c r="C18" s="1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/>
      <c r="B19" s="15" t="s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/>
      <c r="B20" s="3" t="s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/>
      <c r="B21" s="3" t="s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/>
      <c r="B22" s="3" t="s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/>
      <c r="B23" s="3" t="s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2.7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2.7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2.7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2.7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2.7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2.7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2.7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</sheetData>
  <dataValidations count="2">
    <dataValidation type="list" allowBlank="1" sqref="B4" xr:uid="{00000000-0002-0000-0000-000000000000}">
      <formula1>"Yes,No"</formula1>
    </dataValidation>
    <dataValidation type="list" allowBlank="1" sqref="B13" xr:uid="{00000000-0002-0000-0000-000001000000}">
      <formula1>"Concept Stage,MVP In-development,MVP Ready-for- Market,Already In-Market"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C985"/>
  <sheetViews>
    <sheetView showGridLines="0" workbookViewId="0"/>
  </sheetViews>
  <sheetFormatPr defaultColWidth="12.5703125" defaultRowHeight="15.75" customHeight="1"/>
  <cols>
    <col min="1" max="1" width="3.5703125" customWidth="1"/>
    <col min="2" max="3" width="28.42578125" customWidth="1"/>
    <col min="4" max="6" width="28.7109375" customWidth="1"/>
    <col min="7" max="7" width="27.42578125" customWidth="1"/>
    <col min="8" max="8" width="25.7109375" customWidth="1"/>
    <col min="9" max="9" width="12.5703125" customWidth="1"/>
    <col min="10" max="10" width="11.5703125" customWidth="1"/>
    <col min="11" max="11" width="14.85546875" customWidth="1"/>
  </cols>
  <sheetData>
    <row r="1" spans="1:29" ht="23.25">
      <c r="A1" s="3"/>
      <c r="B1" s="16" t="s">
        <v>20</v>
      </c>
      <c r="C1" s="17"/>
      <c r="D1" s="18"/>
      <c r="E1" s="18"/>
      <c r="F1" s="18"/>
      <c r="G1" s="1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76.5">
      <c r="A2" s="3"/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2.75">
      <c r="A3" s="3"/>
      <c r="B3" s="19" t="s">
        <v>28</v>
      </c>
      <c r="C3" s="20" t="s">
        <v>29</v>
      </c>
      <c r="D3" s="20" t="s">
        <v>30</v>
      </c>
      <c r="E3" s="21" t="s">
        <v>31</v>
      </c>
      <c r="F3" s="21" t="s">
        <v>32</v>
      </c>
      <c r="G3" s="21" t="s">
        <v>33</v>
      </c>
      <c r="H3" s="21" t="s">
        <v>34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73.5" customHeight="1">
      <c r="A4" s="3"/>
      <c r="B4" s="22"/>
      <c r="C4" s="23"/>
      <c r="D4" s="23"/>
      <c r="E4" s="24"/>
      <c r="F4" s="24"/>
      <c r="G4" s="24"/>
      <c r="H4" s="2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2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2.7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2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2.7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2.7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2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K97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5703125" defaultRowHeight="15.75" customHeight="1"/>
  <cols>
    <col min="1" max="1" width="33.42578125" customWidth="1"/>
  </cols>
  <sheetData>
    <row r="1" spans="1:1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15"/>
      <c r="B2" s="62" t="s">
        <v>35</v>
      </c>
      <c r="C2" s="63"/>
      <c r="D2" s="63"/>
      <c r="E2" s="63"/>
      <c r="F2" s="63"/>
      <c r="G2" s="15"/>
      <c r="H2" s="15"/>
      <c r="I2" s="15"/>
      <c r="J2" s="15"/>
      <c r="K2" s="15"/>
    </row>
    <row r="3" spans="1:11">
      <c r="A3" s="15"/>
      <c r="B3" s="25">
        <v>2023</v>
      </c>
      <c r="C3" s="25">
        <f t="shared" ref="C3:F3" si="0">B3+1</f>
        <v>2024</v>
      </c>
      <c r="D3" s="25">
        <f t="shared" si="0"/>
        <v>2025</v>
      </c>
      <c r="E3" s="25">
        <f t="shared" si="0"/>
        <v>2026</v>
      </c>
      <c r="F3" s="25">
        <f t="shared" si="0"/>
        <v>2027</v>
      </c>
      <c r="G3" s="15"/>
      <c r="H3" s="15"/>
      <c r="I3" s="15"/>
      <c r="J3" s="15"/>
      <c r="K3" s="15"/>
    </row>
    <row r="4" spans="1:11">
      <c r="A4" s="15"/>
      <c r="B4" s="26" t="s">
        <v>36</v>
      </c>
      <c r="C4" s="15"/>
      <c r="D4" s="15"/>
      <c r="E4" s="15"/>
      <c r="F4" s="15"/>
      <c r="G4" s="15"/>
      <c r="H4" s="15"/>
      <c r="I4" s="15"/>
      <c r="J4" s="15"/>
      <c r="K4" s="15"/>
    </row>
    <row r="5" spans="1:11">
      <c r="A5" s="15" t="s">
        <v>37</v>
      </c>
      <c r="B5" s="27"/>
      <c r="C5" s="28">
        <f t="shared" ref="C5:F5" si="1">B5*(1+C6)</f>
        <v>0</v>
      </c>
      <c r="D5" s="28">
        <f t="shared" si="1"/>
        <v>0</v>
      </c>
      <c r="E5" s="28">
        <f t="shared" si="1"/>
        <v>0</v>
      </c>
      <c r="F5" s="28">
        <f t="shared" si="1"/>
        <v>0</v>
      </c>
      <c r="G5" s="15"/>
      <c r="H5" s="15"/>
      <c r="I5" s="15"/>
      <c r="J5" s="15"/>
      <c r="K5" s="15"/>
    </row>
    <row r="6" spans="1:11">
      <c r="A6" s="15" t="s">
        <v>38</v>
      </c>
      <c r="B6" s="29"/>
      <c r="C6" s="30">
        <v>0</v>
      </c>
      <c r="D6" s="30">
        <v>0</v>
      </c>
      <c r="E6" s="30">
        <v>0</v>
      </c>
      <c r="F6" s="30">
        <v>0</v>
      </c>
      <c r="G6" s="15"/>
      <c r="H6" s="15"/>
      <c r="I6" s="15"/>
      <c r="J6" s="15"/>
      <c r="K6" s="15"/>
    </row>
    <row r="7" spans="1:1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>
      <c r="A8" s="15" t="s">
        <v>39</v>
      </c>
      <c r="B8" s="15"/>
      <c r="C8" s="31">
        <f t="shared" ref="C8:F8" si="2">C9*C$5</f>
        <v>0</v>
      </c>
      <c r="D8" s="31">
        <f t="shared" si="2"/>
        <v>0</v>
      </c>
      <c r="E8" s="31">
        <f t="shared" si="2"/>
        <v>0</v>
      </c>
      <c r="F8" s="31">
        <f t="shared" si="2"/>
        <v>0</v>
      </c>
      <c r="G8" s="15"/>
      <c r="H8" s="15"/>
      <c r="I8" s="15"/>
      <c r="J8" s="15"/>
      <c r="K8" s="15"/>
    </row>
    <row r="9" spans="1:11">
      <c r="A9" s="32" t="s">
        <v>40</v>
      </c>
      <c r="B9" s="15"/>
      <c r="C9" s="33">
        <v>0.8</v>
      </c>
      <c r="D9" s="33">
        <v>0.8</v>
      </c>
      <c r="E9" s="33">
        <v>0.8</v>
      </c>
      <c r="F9" s="33">
        <v>0.8</v>
      </c>
      <c r="G9" s="15"/>
      <c r="H9" s="15"/>
      <c r="I9" s="15"/>
      <c r="J9" s="15"/>
      <c r="K9" s="15"/>
    </row>
    <row r="10" spans="1:1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>
      <c r="A11" s="15" t="s">
        <v>41</v>
      </c>
      <c r="B11" s="15"/>
      <c r="C11" s="31">
        <f t="shared" ref="C11:F11" si="3">C12*C8</f>
        <v>0</v>
      </c>
      <c r="D11" s="31">
        <f t="shared" si="3"/>
        <v>0</v>
      </c>
      <c r="E11" s="31">
        <f t="shared" si="3"/>
        <v>0</v>
      </c>
      <c r="F11" s="31">
        <f t="shared" si="3"/>
        <v>0</v>
      </c>
      <c r="G11" s="15"/>
      <c r="H11" s="15"/>
      <c r="I11" s="15"/>
      <c r="J11" s="15"/>
      <c r="K11" s="15"/>
    </row>
    <row r="12" spans="1:11">
      <c r="A12" s="32" t="s">
        <v>42</v>
      </c>
      <c r="B12" s="15"/>
      <c r="C12" s="33">
        <v>0.8</v>
      </c>
      <c r="D12" s="33">
        <v>0.8</v>
      </c>
      <c r="E12" s="33">
        <v>0.8</v>
      </c>
      <c r="F12" s="33">
        <v>0.8</v>
      </c>
      <c r="G12" s="15"/>
      <c r="H12" s="15"/>
      <c r="I12" s="15"/>
      <c r="J12" s="15"/>
      <c r="K12" s="15"/>
    </row>
    <row r="13" spans="1:1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5" t="s">
        <v>43</v>
      </c>
      <c r="B14" s="15"/>
      <c r="C14" s="31">
        <f t="shared" ref="C14:F14" si="4">C15*C11</f>
        <v>0</v>
      </c>
      <c r="D14" s="31">
        <f t="shared" si="4"/>
        <v>0</v>
      </c>
      <c r="E14" s="31">
        <f t="shared" si="4"/>
        <v>0</v>
      </c>
      <c r="F14" s="31">
        <f t="shared" si="4"/>
        <v>0</v>
      </c>
      <c r="G14" s="15"/>
      <c r="H14" s="15"/>
      <c r="I14" s="15"/>
      <c r="J14" s="15"/>
      <c r="K14" s="15"/>
    </row>
    <row r="15" spans="1:11">
      <c r="A15" s="32" t="s">
        <v>44</v>
      </c>
      <c r="B15" s="15"/>
      <c r="C15" s="33">
        <v>0.8</v>
      </c>
      <c r="D15" s="33">
        <v>0.8</v>
      </c>
      <c r="E15" s="33">
        <v>0.8</v>
      </c>
      <c r="F15" s="33">
        <v>0.8</v>
      </c>
      <c r="G15" s="15"/>
      <c r="H15" s="15"/>
      <c r="I15" s="15"/>
      <c r="J15" s="15"/>
      <c r="K15" s="15"/>
    </row>
    <row r="16" spans="1:1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 t="s">
        <v>45</v>
      </c>
      <c r="B17" s="15"/>
      <c r="C17" s="31">
        <f t="shared" ref="C17:F17" si="5">C18*C14</f>
        <v>0</v>
      </c>
      <c r="D17" s="31">
        <f t="shared" si="5"/>
        <v>0</v>
      </c>
      <c r="E17" s="31">
        <f t="shared" si="5"/>
        <v>0</v>
      </c>
      <c r="F17" s="31">
        <f t="shared" si="5"/>
        <v>0</v>
      </c>
      <c r="G17" s="15"/>
      <c r="H17" s="15"/>
      <c r="I17" s="15"/>
      <c r="J17" s="15"/>
      <c r="K17" s="15"/>
    </row>
    <row r="18" spans="1:11">
      <c r="A18" s="32" t="s">
        <v>46</v>
      </c>
      <c r="B18" s="15"/>
      <c r="C18" s="33">
        <v>0.8</v>
      </c>
      <c r="D18" s="33">
        <v>0.8</v>
      </c>
      <c r="E18" s="33">
        <v>0.8</v>
      </c>
      <c r="F18" s="33">
        <v>0.8</v>
      </c>
      <c r="G18" s="15"/>
      <c r="H18" s="15"/>
      <c r="I18" s="15"/>
      <c r="J18" s="15"/>
      <c r="K18" s="15"/>
    </row>
    <row r="19" spans="1:1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 t="s">
        <v>47</v>
      </c>
      <c r="B20" s="15"/>
      <c r="C20" s="31">
        <f t="shared" ref="C20:F20" si="6">C21*C17</f>
        <v>0</v>
      </c>
      <c r="D20" s="31">
        <f t="shared" si="6"/>
        <v>0</v>
      </c>
      <c r="E20" s="31">
        <f t="shared" si="6"/>
        <v>0</v>
      </c>
      <c r="F20" s="31">
        <f t="shared" si="6"/>
        <v>0</v>
      </c>
      <c r="G20" s="15"/>
      <c r="H20" s="15"/>
      <c r="I20" s="15"/>
      <c r="J20" s="15"/>
      <c r="K20" s="15"/>
    </row>
    <row r="21" spans="1:11">
      <c r="A21" s="32" t="s">
        <v>48</v>
      </c>
      <c r="B21" s="15"/>
      <c r="C21" s="33">
        <v>0.15</v>
      </c>
      <c r="D21" s="33">
        <v>0.2</v>
      </c>
      <c r="E21" s="33">
        <v>0.25</v>
      </c>
      <c r="F21" s="33">
        <v>0.3</v>
      </c>
      <c r="G21" s="15"/>
      <c r="H21" s="15"/>
      <c r="I21" s="15"/>
      <c r="J21" s="15"/>
      <c r="K21" s="15"/>
    </row>
    <row r="22" spans="1:1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 t="s">
        <v>49</v>
      </c>
      <c r="B23" s="15"/>
      <c r="C23" s="34">
        <f t="shared" ref="C23:F23" si="7">C20</f>
        <v>0</v>
      </c>
      <c r="D23" s="34">
        <f t="shared" si="7"/>
        <v>0</v>
      </c>
      <c r="E23" s="34">
        <f t="shared" si="7"/>
        <v>0</v>
      </c>
      <c r="F23" s="34">
        <f t="shared" si="7"/>
        <v>0</v>
      </c>
      <c r="G23" s="15"/>
      <c r="H23" s="15"/>
      <c r="I23" s="15"/>
      <c r="J23" s="15"/>
      <c r="K23" s="15"/>
    </row>
    <row r="24" spans="1:1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15" t="s">
        <v>50</v>
      </c>
      <c r="B25" s="15"/>
      <c r="C25" s="35" t="s">
        <v>51</v>
      </c>
      <c r="D25" s="15"/>
      <c r="E25" s="15"/>
      <c r="F25" s="15"/>
      <c r="G25" s="15"/>
      <c r="H25" s="15"/>
      <c r="I25" s="15"/>
      <c r="J25" s="15"/>
      <c r="K25" s="15"/>
    </row>
    <row r="26" spans="1:11">
      <c r="A26" s="15" t="s">
        <v>52</v>
      </c>
      <c r="B26" s="15"/>
      <c r="C26" s="36">
        <v>0</v>
      </c>
      <c r="D26" s="36">
        <v>0</v>
      </c>
      <c r="E26" s="36">
        <v>0</v>
      </c>
      <c r="F26" s="36">
        <v>0</v>
      </c>
      <c r="G26" s="15"/>
      <c r="H26" s="15"/>
      <c r="I26" s="15"/>
      <c r="J26" s="15"/>
      <c r="K26" s="15"/>
    </row>
    <row r="27" spans="1:11">
      <c r="A27" s="15" t="s">
        <v>53</v>
      </c>
      <c r="B27" s="15"/>
      <c r="C27" s="37">
        <v>0</v>
      </c>
      <c r="D27" s="37">
        <v>0</v>
      </c>
      <c r="E27" s="37">
        <v>0</v>
      </c>
      <c r="F27" s="37">
        <v>0</v>
      </c>
      <c r="G27" s="15"/>
      <c r="H27" s="15"/>
      <c r="I27" s="15"/>
      <c r="J27" s="15"/>
      <c r="K27" s="15"/>
    </row>
    <row r="28" spans="1:11">
      <c r="A28" s="15" t="s">
        <v>54</v>
      </c>
      <c r="B28" s="15"/>
      <c r="C28" s="15">
        <f t="shared" ref="C28:F28" si="8">C26*C27</f>
        <v>0</v>
      </c>
      <c r="D28" s="15">
        <f t="shared" si="8"/>
        <v>0</v>
      </c>
      <c r="E28" s="15">
        <f t="shared" si="8"/>
        <v>0</v>
      </c>
      <c r="F28" s="15">
        <f t="shared" si="8"/>
        <v>0</v>
      </c>
      <c r="G28" s="15"/>
      <c r="H28" s="15"/>
      <c r="I28" s="15"/>
      <c r="J28" s="15"/>
      <c r="K28" s="15"/>
    </row>
    <row r="29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38" t="s">
        <v>55</v>
      </c>
      <c r="B30" s="39"/>
      <c r="C30" s="40">
        <f t="shared" ref="C30:F30" si="9">C28*C23</f>
        <v>0</v>
      </c>
      <c r="D30" s="40">
        <f t="shared" si="9"/>
        <v>0</v>
      </c>
      <c r="E30" s="40">
        <f t="shared" si="9"/>
        <v>0</v>
      </c>
      <c r="F30" s="41">
        <f t="shared" si="9"/>
        <v>0</v>
      </c>
      <c r="G30" s="15"/>
      <c r="H30" s="15"/>
      <c r="I30" s="15"/>
      <c r="J30" s="15"/>
      <c r="K30" s="15"/>
    </row>
    <row r="3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 t="s">
        <v>56</v>
      </c>
      <c r="B32" s="15"/>
      <c r="C32" s="35" t="s">
        <v>57</v>
      </c>
      <c r="D32" s="15"/>
      <c r="E32" s="15"/>
      <c r="F32" s="15"/>
      <c r="G32" s="15"/>
      <c r="H32" s="15"/>
      <c r="I32" s="15"/>
      <c r="J32" s="15"/>
      <c r="K32" s="15"/>
    </row>
    <row r="33" spans="1:11">
      <c r="A33" s="15" t="s">
        <v>58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15"/>
      <c r="H33" s="15"/>
      <c r="I33" s="15"/>
      <c r="J33" s="15"/>
      <c r="K33" s="15"/>
    </row>
    <row r="34" spans="1:11">
      <c r="A34" s="15" t="s">
        <v>59</v>
      </c>
      <c r="B34" s="15"/>
      <c r="C34" s="37">
        <v>0</v>
      </c>
      <c r="D34" s="37">
        <v>0</v>
      </c>
      <c r="E34" s="37">
        <v>0</v>
      </c>
      <c r="F34" s="37">
        <v>0</v>
      </c>
      <c r="G34" s="15"/>
      <c r="H34" s="15"/>
      <c r="I34" s="15"/>
      <c r="J34" s="15"/>
      <c r="K34" s="15"/>
    </row>
    <row r="35" spans="1:11">
      <c r="A35" s="15" t="s">
        <v>60</v>
      </c>
      <c r="B35" s="15"/>
      <c r="C35" s="36">
        <v>0</v>
      </c>
      <c r="D35" s="36">
        <v>0</v>
      </c>
      <c r="E35" s="36">
        <v>0</v>
      </c>
      <c r="F35" s="36">
        <v>0</v>
      </c>
      <c r="G35" s="15"/>
      <c r="H35" s="15"/>
      <c r="I35" s="15"/>
      <c r="J35" s="15"/>
      <c r="K35" s="15"/>
    </row>
    <row r="36" spans="1:11">
      <c r="A36" s="15" t="s">
        <v>61</v>
      </c>
      <c r="B36" s="15"/>
      <c r="C36" s="32">
        <f t="shared" ref="C36:F36" si="10">C35*C34</f>
        <v>0</v>
      </c>
      <c r="D36" s="32">
        <f t="shared" si="10"/>
        <v>0</v>
      </c>
      <c r="E36" s="32">
        <f t="shared" si="10"/>
        <v>0</v>
      </c>
      <c r="F36" s="32">
        <f t="shared" si="10"/>
        <v>0</v>
      </c>
      <c r="G36" s="15"/>
      <c r="H36" s="15"/>
      <c r="I36" s="15"/>
      <c r="J36" s="15"/>
      <c r="K36" s="15"/>
    </row>
    <row r="37" spans="1:1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38" t="s">
        <v>62</v>
      </c>
      <c r="B38" s="39"/>
      <c r="C38" s="40">
        <f t="shared" ref="C38:F38" si="11">AVERAGE(B33:C33)*C36</f>
        <v>0</v>
      </c>
      <c r="D38" s="40">
        <f t="shared" si="11"/>
        <v>0</v>
      </c>
      <c r="E38" s="40">
        <f t="shared" si="11"/>
        <v>0</v>
      </c>
      <c r="F38" s="41">
        <f t="shared" si="11"/>
        <v>0</v>
      </c>
      <c r="G38" s="15"/>
      <c r="H38" s="15"/>
      <c r="I38" s="15"/>
      <c r="J38" s="15"/>
      <c r="K38" s="15"/>
    </row>
    <row r="39" spans="1:1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1:1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spans="1:1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spans="1:1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pans="1:1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1:1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spans="1:1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pans="1:1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pans="1:1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1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spans="1:1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1:1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spans="1:1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spans="1:1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spans="1:1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spans="1:1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1:1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spans="1:1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spans="1:1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 spans="1:1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 spans="1:1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 spans="1:1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 spans="1:1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spans="1:1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 spans="1:1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 spans="1:1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 spans="1:1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spans="1:1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spans="1:1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spans="1:1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spans="1:1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spans="1:1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spans="1:1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spans="1:1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spans="1:1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spans="1:1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spans="1:1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spans="1:1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spans="1:1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spans="1:1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spans="1:1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spans="1:1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spans="1:1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spans="1:1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spans="1:1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spans="1:1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 spans="1:1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 spans="1:1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 spans="1:1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spans="1:1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 spans="1:1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spans="1:1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 spans="1:1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 spans="1:1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 spans="1:1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  <row r="187" spans="1:1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</row>
    <row r="188" spans="1:1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 spans="1:1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 spans="1:1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spans="1:1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spans="1:1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 spans="1:1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</row>
    <row r="194" spans="1:1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</row>
    <row r="195" spans="1:1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</row>
    <row r="196" spans="1:1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</row>
    <row r="197" spans="1:1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</row>
    <row r="198" spans="1:1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</row>
    <row r="199" spans="1:1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 spans="1:1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</row>
    <row r="201" spans="1:1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</row>
    <row r="202" spans="1:1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</row>
    <row r="203" spans="1:1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</row>
    <row r="204" spans="1:1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</row>
    <row r="205" spans="1:1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</row>
    <row r="206" spans="1:1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</row>
    <row r="207" spans="1:1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</row>
    <row r="208" spans="1:1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</row>
    <row r="209" spans="1:1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</row>
    <row r="210" spans="1:1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</row>
    <row r="211" spans="1: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</row>
    <row r="213" spans="1:1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</row>
    <row r="214" spans="1:1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</row>
    <row r="215" spans="1:1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</row>
    <row r="216" spans="1:1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</row>
    <row r="217" spans="1:1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</row>
    <row r="218" spans="1:1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</row>
    <row r="219" spans="1:1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</row>
    <row r="220" spans="1:1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</row>
    <row r="221" spans="1:1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</row>
    <row r="222" spans="1:1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</row>
    <row r="223" spans="1:1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</row>
    <row r="224" spans="1:1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</row>
    <row r="225" spans="1:1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</row>
    <row r="226" spans="1:1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</row>
    <row r="227" spans="1:1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</row>
    <row r="228" spans="1:1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</row>
    <row r="229" spans="1:1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</row>
    <row r="230" spans="1:1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</row>
    <row r="231" spans="1:1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</row>
    <row r="232" spans="1:1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</row>
    <row r="233" spans="1:1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</row>
    <row r="234" spans="1:1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</row>
    <row r="235" spans="1:1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</row>
    <row r="236" spans="1:1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</row>
    <row r="237" spans="1:1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</row>
    <row r="238" spans="1:1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</row>
    <row r="239" spans="1:1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</row>
    <row r="240" spans="1:1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</row>
    <row r="241" spans="1:1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</row>
    <row r="242" spans="1:1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</row>
    <row r="243" spans="1:1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</row>
    <row r="244" spans="1:1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</row>
    <row r="245" spans="1:1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</row>
    <row r="246" spans="1:1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</row>
    <row r="247" spans="1:1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</row>
    <row r="248" spans="1:1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</row>
    <row r="249" spans="1:1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</row>
    <row r="250" spans="1:1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</row>
    <row r="251" spans="1:1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</row>
    <row r="252" spans="1:1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</row>
    <row r="253" spans="1:1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</row>
    <row r="254" spans="1:1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</row>
    <row r="255" spans="1:1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</row>
    <row r="256" spans="1:1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</row>
    <row r="257" spans="1:1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</row>
    <row r="258" spans="1:1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</row>
    <row r="259" spans="1:1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</row>
    <row r="260" spans="1:1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</row>
    <row r="261" spans="1:1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</row>
    <row r="262" spans="1:1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</row>
    <row r="263" spans="1:1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</row>
    <row r="264" spans="1:1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</row>
    <row r="265" spans="1:1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</row>
    <row r="266" spans="1:1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</row>
    <row r="267" spans="1:1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</row>
    <row r="268" spans="1:1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</row>
    <row r="269" spans="1:1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</row>
    <row r="270" spans="1:1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</row>
    <row r="271" spans="1:1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</row>
    <row r="272" spans="1:1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</row>
    <row r="273" spans="1:1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</row>
    <row r="274" spans="1:1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</row>
    <row r="275" spans="1:1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</row>
    <row r="276" spans="1:1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</row>
    <row r="277" spans="1:1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</row>
    <row r="278" spans="1:1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</row>
    <row r="279" spans="1:1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</row>
    <row r="280" spans="1:1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</row>
    <row r="281" spans="1:1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</row>
    <row r="282" spans="1:1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</row>
    <row r="283" spans="1:1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</row>
    <row r="284" spans="1:1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</row>
    <row r="285" spans="1:1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</row>
    <row r="286" spans="1:1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</row>
    <row r="287" spans="1:1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</row>
    <row r="288" spans="1:1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</row>
    <row r="289" spans="1:1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</row>
    <row r="290" spans="1:1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</row>
    <row r="291" spans="1:1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</row>
    <row r="292" spans="1:1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</row>
    <row r="293" spans="1:1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</row>
    <row r="294" spans="1:1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</row>
    <row r="295" spans="1:1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</row>
    <row r="296" spans="1:1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</row>
    <row r="297" spans="1:1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</row>
    <row r="298" spans="1:1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</row>
    <row r="299" spans="1:1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</row>
    <row r="300" spans="1:1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</row>
    <row r="301" spans="1:1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</row>
    <row r="302" spans="1:1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</row>
    <row r="303" spans="1:1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  <row r="327" spans="1:1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</row>
    <row r="328" spans="1:1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</row>
    <row r="329" spans="1:1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</row>
    <row r="330" spans="1:1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</row>
    <row r="331" spans="1:1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</row>
    <row r="332" spans="1:1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</row>
    <row r="333" spans="1:1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</row>
    <row r="334" spans="1:1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</row>
    <row r="335" spans="1:1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</row>
    <row r="336" spans="1:1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</row>
    <row r="337" spans="1:1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</row>
    <row r="338" spans="1:1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</row>
    <row r="339" spans="1:1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</row>
    <row r="340" spans="1:1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</row>
    <row r="341" spans="1:1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</row>
    <row r="342" spans="1:1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</row>
    <row r="343" spans="1:1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</row>
    <row r="344" spans="1:1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</row>
    <row r="345" spans="1:1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</row>
    <row r="346" spans="1:1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</row>
    <row r="347" spans="1:1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</row>
    <row r="348" spans="1:1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</row>
    <row r="349" spans="1:1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</row>
    <row r="350" spans="1:1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</row>
    <row r="351" spans="1:1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</row>
    <row r="352" spans="1:1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</row>
    <row r="353" spans="1:1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</row>
    <row r="354" spans="1:1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</row>
    <row r="355" spans="1:1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</row>
    <row r="356" spans="1:1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</row>
    <row r="357" spans="1:1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</row>
    <row r="358" spans="1:1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</row>
    <row r="359" spans="1:1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</row>
    <row r="360" spans="1:1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</row>
    <row r="361" spans="1:1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</row>
    <row r="362" spans="1:1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</row>
    <row r="363" spans="1:1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</row>
    <row r="364" spans="1:1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</row>
    <row r="365" spans="1:1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</row>
    <row r="366" spans="1:1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</row>
    <row r="367" spans="1:1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</row>
    <row r="368" spans="1:1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</row>
    <row r="369" spans="1:1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</row>
    <row r="370" spans="1:1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</row>
    <row r="371" spans="1:1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</row>
    <row r="372" spans="1:1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</row>
    <row r="373" spans="1:1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</row>
    <row r="374" spans="1:1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</row>
    <row r="375" spans="1:1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</row>
    <row r="376" spans="1:1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</row>
    <row r="377" spans="1:1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</row>
    <row r="378" spans="1:1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</row>
    <row r="379" spans="1:1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</row>
    <row r="380" spans="1:1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</row>
    <row r="381" spans="1:1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</row>
    <row r="382" spans="1:1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</row>
    <row r="383" spans="1:1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</row>
    <row r="384" spans="1:1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</row>
    <row r="385" spans="1:1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</row>
    <row r="386" spans="1:1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</row>
    <row r="387" spans="1:1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</row>
    <row r="388" spans="1:1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</row>
    <row r="389" spans="1:1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</row>
    <row r="390" spans="1:1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</row>
    <row r="391" spans="1:1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</row>
    <row r="392" spans="1:1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</row>
    <row r="393" spans="1:1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</row>
    <row r="394" spans="1:1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</row>
    <row r="395" spans="1:1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</row>
    <row r="396" spans="1:1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</row>
    <row r="397" spans="1:1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</row>
    <row r="398" spans="1:1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</row>
    <row r="399" spans="1:1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</row>
    <row r="400" spans="1:1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</row>
    <row r="401" spans="1:1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</row>
    <row r="402" spans="1:1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</row>
    <row r="403" spans="1:1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</row>
    <row r="404" spans="1:1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</row>
    <row r="405" spans="1:1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</row>
    <row r="406" spans="1:1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</row>
    <row r="407" spans="1:1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</row>
    <row r="408" spans="1:1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</row>
    <row r="409" spans="1:1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</row>
    <row r="410" spans="1:1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</row>
    <row r="411" spans="1: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</row>
    <row r="412" spans="1:1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</row>
    <row r="413" spans="1:1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</row>
    <row r="414" spans="1:1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</row>
    <row r="415" spans="1:1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</row>
    <row r="416" spans="1:1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</row>
    <row r="417" spans="1:1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</row>
    <row r="418" spans="1:1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</row>
    <row r="419" spans="1:1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</row>
    <row r="420" spans="1:1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</row>
    <row r="421" spans="1:1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</row>
    <row r="422" spans="1:1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</row>
    <row r="423" spans="1:1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</row>
    <row r="424" spans="1:1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</row>
    <row r="425" spans="1:1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</row>
    <row r="426" spans="1:1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</row>
    <row r="427" spans="1:1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 spans="1:1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 spans="1:1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 spans="1:1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 spans="1:1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 spans="1:1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 spans="1:1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 spans="1:1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 spans="1:1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 spans="1:1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 spans="1:1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 spans="1:1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 spans="1:1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 spans="1:1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 spans="1:1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 spans="1:1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 spans="1:1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 spans="1:1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 spans="1:1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 spans="1:1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 spans="1:1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 spans="1:1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 spans="1:1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 spans="1:1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 spans="1:1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 spans="1:1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 spans="1:1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 spans="1:1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 spans="1:1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 spans="1:1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 spans="1:1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 spans="1:1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 spans="1:1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 spans="1:1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 spans="1:1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 spans="1:1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 spans="1:1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</row>
    <row r="464" spans="1:1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 spans="1:1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 spans="1:1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 spans="1:1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  <row r="487" spans="1:1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</row>
    <row r="488" spans="1:1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</row>
    <row r="489" spans="1:1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</row>
    <row r="490" spans="1:1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</row>
    <row r="491" spans="1:1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</row>
    <row r="492" spans="1:1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</row>
    <row r="493" spans="1:1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</row>
    <row r="494" spans="1:1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</row>
    <row r="495" spans="1:1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</row>
    <row r="496" spans="1:1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</row>
    <row r="497" spans="1:1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</row>
    <row r="498" spans="1:1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</row>
    <row r="499" spans="1:1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</row>
    <row r="500" spans="1:1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</row>
    <row r="501" spans="1:1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</row>
    <row r="502" spans="1:1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</row>
    <row r="503" spans="1:1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</row>
    <row r="504" spans="1:1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</row>
    <row r="505" spans="1:1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</row>
    <row r="506" spans="1:1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</row>
    <row r="507" spans="1:1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</row>
    <row r="508" spans="1:1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</row>
    <row r="509" spans="1:1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</row>
    <row r="510" spans="1:1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</row>
    <row r="511" spans="1: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</row>
    <row r="512" spans="1:1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</row>
    <row r="513" spans="1:1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</row>
    <row r="514" spans="1:1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</row>
    <row r="515" spans="1:1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</row>
    <row r="516" spans="1:1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</row>
    <row r="517" spans="1:1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</row>
    <row r="518" spans="1:1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1:1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1:1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1:1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1:1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1:1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1:1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1:1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1:1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1:1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1:1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1:1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1:1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1:1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1:1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1:1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1:1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1:1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1:1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1:1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1:1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1:1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1:1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1:1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1:1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1:1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1:1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1:1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1:1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1:1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1:1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1:1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1:1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1:1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1:1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1:1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1:1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1:1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1:1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1:1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1:1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1:1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1:1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1:1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1:1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1:1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1:1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1:1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1:1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1:1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1:1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1:1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1:1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1:1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1:1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1:1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1:1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1:1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1:1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1:1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1:1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1:1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1:1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1:1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1:1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1:1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1:1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1:1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1:1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1:1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1:1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1:1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1:1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1:1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1:1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1:1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1:1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1:1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1:1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1:1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1:1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1:1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1: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1:1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1:1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1:1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1:1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</row>
    <row r="616" spans="1:1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</row>
    <row r="617" spans="1:1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1:1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</row>
    <row r="619" spans="1:1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</row>
    <row r="620" spans="1:1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1:1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1:1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1:1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1:1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1:1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1:1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1:1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1:1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1:1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1:1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1:1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1:1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1:1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1:1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1:1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1:1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1:1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1:1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1:1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1:1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1:1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1:1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1:1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1:1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1:1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1:1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1:1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1:1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1:1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1:1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1:1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1:1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1:1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1:1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1:1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1:1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1:1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1:1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1:1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1:1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1:1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1:1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1:1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1:1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1:1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1:1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1:1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1:1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1:1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1:1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1:1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1:1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</row>
    <row r="673" spans="1:1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</row>
    <row r="674" spans="1:1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</row>
    <row r="675" spans="1:1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</row>
    <row r="676" spans="1:1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</row>
    <row r="677" spans="1:1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</row>
    <row r="678" spans="1:1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</row>
    <row r="679" spans="1:1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</row>
    <row r="680" spans="1:1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</row>
    <row r="681" spans="1:1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</row>
    <row r="682" spans="1:1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</row>
    <row r="683" spans="1:1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</row>
    <row r="684" spans="1:1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</row>
    <row r="685" spans="1:1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</row>
    <row r="686" spans="1:1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</row>
    <row r="687" spans="1:1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</row>
    <row r="688" spans="1:1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</row>
    <row r="689" spans="1:1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</row>
    <row r="690" spans="1:1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</row>
    <row r="691" spans="1:1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</row>
    <row r="692" spans="1:1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</row>
    <row r="693" spans="1:1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</row>
    <row r="694" spans="1:1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</row>
    <row r="695" spans="1:1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</row>
    <row r="696" spans="1:1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</row>
    <row r="697" spans="1:1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</row>
    <row r="698" spans="1:1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</row>
    <row r="699" spans="1:1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</row>
    <row r="700" spans="1:1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</row>
    <row r="701" spans="1:1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</row>
    <row r="702" spans="1:1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</row>
    <row r="703" spans="1:1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</row>
    <row r="704" spans="1:1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</row>
    <row r="705" spans="1:1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</row>
    <row r="706" spans="1:1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</row>
    <row r="707" spans="1:1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</row>
    <row r="708" spans="1:1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</row>
    <row r="709" spans="1:1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</row>
    <row r="710" spans="1:1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</row>
    <row r="711" spans="1: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</row>
    <row r="712" spans="1:1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</row>
    <row r="713" spans="1:1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</row>
    <row r="714" spans="1:1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</row>
    <row r="715" spans="1:1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</row>
    <row r="716" spans="1:1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</row>
    <row r="717" spans="1:1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</row>
    <row r="718" spans="1:1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</row>
    <row r="719" spans="1:1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</row>
    <row r="720" spans="1:1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</row>
    <row r="721" spans="1:1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</row>
    <row r="722" spans="1:1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</row>
    <row r="723" spans="1:1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</row>
    <row r="724" spans="1:1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</row>
    <row r="725" spans="1:1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</row>
    <row r="726" spans="1:1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</row>
    <row r="727" spans="1:1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</row>
    <row r="728" spans="1:1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</row>
    <row r="729" spans="1:1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</row>
    <row r="730" spans="1:1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</row>
    <row r="731" spans="1:1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</row>
    <row r="732" spans="1:1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</row>
    <row r="733" spans="1:1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</row>
    <row r="734" spans="1:1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</row>
    <row r="735" spans="1:1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</row>
    <row r="736" spans="1:1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</row>
    <row r="737" spans="1:1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</row>
    <row r="738" spans="1:1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</row>
    <row r="739" spans="1:1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</row>
    <row r="740" spans="1:1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</row>
    <row r="741" spans="1:1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</row>
    <row r="742" spans="1:1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</row>
    <row r="743" spans="1:1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</row>
    <row r="744" spans="1:1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</row>
    <row r="745" spans="1:1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</row>
    <row r="746" spans="1:1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</row>
    <row r="747" spans="1:1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</row>
    <row r="748" spans="1:1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</row>
    <row r="749" spans="1:1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</row>
    <row r="750" spans="1:1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</row>
    <row r="751" spans="1:1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</row>
    <row r="752" spans="1:1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</row>
    <row r="753" spans="1:1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</row>
    <row r="754" spans="1:1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</row>
    <row r="755" spans="1:1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</row>
    <row r="756" spans="1:1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</row>
    <row r="757" spans="1:1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</row>
    <row r="758" spans="1:1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</row>
    <row r="759" spans="1:1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</row>
    <row r="760" spans="1:1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</row>
    <row r="761" spans="1:1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</row>
    <row r="762" spans="1:1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</row>
    <row r="763" spans="1:1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</row>
    <row r="764" spans="1:1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</row>
    <row r="765" spans="1:1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</row>
    <row r="766" spans="1:1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</row>
    <row r="767" spans="1:1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</row>
    <row r="768" spans="1:1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</row>
    <row r="769" spans="1:1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</row>
    <row r="770" spans="1:1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</row>
    <row r="771" spans="1:1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</row>
    <row r="772" spans="1:1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</row>
    <row r="773" spans="1:1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</row>
    <row r="774" spans="1:1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</row>
    <row r="775" spans="1:1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</row>
    <row r="776" spans="1:1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</row>
    <row r="777" spans="1:1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</row>
    <row r="778" spans="1:1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</row>
    <row r="779" spans="1:1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</row>
    <row r="780" spans="1:1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</row>
    <row r="781" spans="1:1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</row>
    <row r="782" spans="1:1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</row>
    <row r="783" spans="1:1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</row>
    <row r="784" spans="1:1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</row>
    <row r="785" spans="1:1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</row>
    <row r="786" spans="1:1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</row>
    <row r="787" spans="1:1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</row>
    <row r="788" spans="1:1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</row>
    <row r="789" spans="1:1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</row>
    <row r="790" spans="1:1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</row>
    <row r="791" spans="1:1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</row>
    <row r="792" spans="1:1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</row>
    <row r="793" spans="1:1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</row>
    <row r="794" spans="1:1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</row>
    <row r="795" spans="1:1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</row>
    <row r="796" spans="1:1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</row>
    <row r="797" spans="1:1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</row>
    <row r="798" spans="1:1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</row>
    <row r="799" spans="1:1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</row>
    <row r="800" spans="1:1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</row>
    <row r="801" spans="1:1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</row>
    <row r="802" spans="1:1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</row>
    <row r="803" spans="1:1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</row>
    <row r="804" spans="1:1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</row>
    <row r="805" spans="1:1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</row>
    <row r="806" spans="1:1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</row>
    <row r="807" spans="1:1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</row>
    <row r="808" spans="1:1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</row>
    <row r="809" spans="1:1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</row>
    <row r="810" spans="1:1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</row>
    <row r="811" spans="1: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</row>
    <row r="812" spans="1:1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</row>
    <row r="813" spans="1:1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</row>
    <row r="814" spans="1:1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</row>
    <row r="815" spans="1:1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</row>
    <row r="816" spans="1:1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</row>
    <row r="817" spans="1:1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</row>
    <row r="818" spans="1:1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</row>
    <row r="819" spans="1:1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</row>
    <row r="820" spans="1:1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</row>
    <row r="821" spans="1:1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</row>
    <row r="822" spans="1:1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</row>
    <row r="823" spans="1:1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</row>
    <row r="824" spans="1:1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</row>
    <row r="825" spans="1:1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</row>
    <row r="826" spans="1:1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</row>
    <row r="827" spans="1:1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</row>
    <row r="828" spans="1:1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</row>
    <row r="829" spans="1:1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</row>
    <row r="830" spans="1:1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</row>
    <row r="831" spans="1:1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</row>
    <row r="832" spans="1:1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</row>
    <row r="833" spans="1:1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</row>
    <row r="834" spans="1:1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</row>
    <row r="835" spans="1:1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</row>
    <row r="836" spans="1:1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</row>
    <row r="837" spans="1:1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</row>
    <row r="838" spans="1:1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</row>
    <row r="839" spans="1:1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</row>
    <row r="840" spans="1:1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</row>
    <row r="841" spans="1:1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</row>
    <row r="842" spans="1:1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</row>
    <row r="843" spans="1:1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</row>
    <row r="844" spans="1:1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</row>
    <row r="845" spans="1:1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</row>
    <row r="846" spans="1:1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</row>
    <row r="847" spans="1:1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</row>
    <row r="848" spans="1:1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</row>
    <row r="849" spans="1:1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</row>
    <row r="850" spans="1:1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</row>
    <row r="851" spans="1:1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</row>
    <row r="852" spans="1:1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</row>
    <row r="853" spans="1:1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</row>
    <row r="854" spans="1:1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</row>
    <row r="855" spans="1:1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</row>
    <row r="856" spans="1:1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</row>
    <row r="857" spans="1:1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</row>
    <row r="858" spans="1:1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</row>
    <row r="859" spans="1:1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</row>
    <row r="860" spans="1:1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</row>
    <row r="861" spans="1:1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</row>
    <row r="862" spans="1:1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</row>
    <row r="863" spans="1:1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</row>
    <row r="864" spans="1:1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</row>
    <row r="865" spans="1:1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</row>
    <row r="866" spans="1:1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</row>
    <row r="867" spans="1:1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</row>
    <row r="868" spans="1:1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</row>
    <row r="869" spans="1:1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</row>
    <row r="870" spans="1:1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</row>
    <row r="871" spans="1:1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</row>
    <row r="872" spans="1:1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</row>
    <row r="873" spans="1:1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</row>
    <row r="874" spans="1:1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</row>
    <row r="875" spans="1:1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</row>
    <row r="876" spans="1:1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</row>
    <row r="877" spans="1:1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</row>
    <row r="878" spans="1:1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</row>
    <row r="879" spans="1:1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</row>
    <row r="880" spans="1:1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</row>
    <row r="881" spans="1:1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</row>
    <row r="882" spans="1:1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</row>
    <row r="883" spans="1:1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</row>
    <row r="884" spans="1:1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</row>
    <row r="885" spans="1:1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</row>
    <row r="886" spans="1:1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</row>
    <row r="887" spans="1:1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</row>
    <row r="888" spans="1:1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</row>
    <row r="889" spans="1:1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</row>
    <row r="890" spans="1:1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</row>
    <row r="891" spans="1:1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</row>
    <row r="892" spans="1:1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</row>
    <row r="893" spans="1:1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</row>
    <row r="894" spans="1:1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</row>
    <row r="895" spans="1:1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</row>
    <row r="896" spans="1:1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</row>
    <row r="897" spans="1:1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</row>
    <row r="898" spans="1:1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</row>
    <row r="899" spans="1:1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</row>
    <row r="900" spans="1:1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</row>
    <row r="901" spans="1:1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</row>
    <row r="902" spans="1:1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</row>
    <row r="903" spans="1:1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</row>
    <row r="904" spans="1:1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</row>
    <row r="905" spans="1:1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</row>
    <row r="906" spans="1:1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</row>
    <row r="907" spans="1:1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</row>
    <row r="908" spans="1:1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</row>
    <row r="909" spans="1:1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</row>
    <row r="910" spans="1:1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</row>
    <row r="911" spans="1: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</row>
    <row r="912" spans="1:1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</row>
    <row r="913" spans="1:1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</row>
    <row r="914" spans="1:1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</row>
    <row r="915" spans="1:1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</row>
    <row r="916" spans="1:1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</row>
    <row r="917" spans="1:1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</row>
    <row r="918" spans="1:1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</row>
    <row r="919" spans="1:1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</row>
    <row r="920" spans="1:1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</row>
    <row r="921" spans="1:1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</row>
    <row r="922" spans="1:1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</row>
    <row r="923" spans="1:1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</row>
    <row r="924" spans="1:1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</row>
    <row r="925" spans="1:1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</row>
    <row r="926" spans="1:1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</row>
    <row r="927" spans="1:1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</row>
    <row r="928" spans="1:1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</row>
    <row r="929" spans="1:1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</row>
    <row r="930" spans="1:1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</row>
    <row r="931" spans="1:1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</row>
    <row r="932" spans="1:1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</row>
    <row r="933" spans="1:1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</row>
    <row r="934" spans="1:1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</row>
    <row r="935" spans="1:1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</row>
    <row r="936" spans="1:1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</row>
    <row r="937" spans="1:1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</row>
    <row r="938" spans="1:1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</row>
    <row r="939" spans="1:1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</row>
    <row r="940" spans="1:1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</row>
    <row r="941" spans="1:1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</row>
    <row r="942" spans="1:1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</row>
    <row r="943" spans="1:1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</row>
    <row r="944" spans="1:1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</row>
    <row r="945" spans="1:1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</row>
    <row r="946" spans="1:1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</row>
    <row r="947" spans="1:1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</row>
    <row r="948" spans="1:1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</row>
    <row r="949" spans="1:1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</row>
    <row r="950" spans="1:1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</row>
    <row r="951" spans="1:1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</row>
    <row r="952" spans="1:1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</row>
    <row r="953" spans="1:1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</row>
    <row r="954" spans="1:1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</row>
    <row r="955" spans="1:1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</row>
    <row r="956" spans="1:1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</row>
    <row r="957" spans="1:1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</row>
    <row r="958" spans="1:1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</row>
    <row r="959" spans="1:1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</row>
    <row r="960" spans="1:1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</row>
    <row r="961" spans="1:1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</row>
    <row r="962" spans="1:1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</row>
    <row r="963" spans="1:1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</row>
    <row r="964" spans="1:1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</row>
    <row r="965" spans="1:1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</row>
    <row r="966" spans="1:1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</row>
    <row r="967" spans="1:1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</row>
    <row r="968" spans="1:1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</row>
    <row r="969" spans="1:1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</row>
    <row r="970" spans="1:1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</row>
    <row r="971" spans="1:1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</row>
    <row r="972" spans="1:1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</row>
    <row r="973" spans="1:1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</row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4D79"/>
    <outlinePr summaryBelow="0" summaryRight="0"/>
  </sheetPr>
  <dimension ref="A1:Z1011"/>
  <sheetViews>
    <sheetView showGridLines="0" workbookViewId="0"/>
  </sheetViews>
  <sheetFormatPr defaultColWidth="12.5703125" defaultRowHeight="15.75" customHeight="1"/>
  <cols>
    <col min="1" max="1" width="3.85546875" customWidth="1"/>
    <col min="2" max="2" width="19.5703125" customWidth="1"/>
    <col min="3" max="3" width="43.7109375" customWidth="1"/>
  </cols>
  <sheetData>
    <row r="1" spans="1:26">
      <c r="A1" s="3"/>
      <c r="B1" s="15" t="s">
        <v>63</v>
      </c>
      <c r="C1" s="42" t="s">
        <v>64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43" t="s">
        <v>65</v>
      </c>
      <c r="C3" s="43"/>
      <c r="D3" s="4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43" t="s">
        <v>66</v>
      </c>
      <c r="C4" s="43"/>
      <c r="D4" s="4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44" t="s">
        <v>67</v>
      </c>
      <c r="C6" s="44" t="s">
        <v>68</v>
      </c>
      <c r="D6" s="44" t="s">
        <v>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45"/>
      <c r="C7" s="45"/>
      <c r="D7" s="4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45"/>
      <c r="C8" s="45"/>
      <c r="D8" s="4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45"/>
      <c r="C9" s="45"/>
      <c r="D9" s="4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45"/>
      <c r="C10" s="45"/>
      <c r="D10" s="4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45"/>
      <c r="C11" s="45"/>
      <c r="D11" s="4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45"/>
      <c r="C12" s="45"/>
      <c r="D12" s="4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45"/>
      <c r="C13" s="45"/>
      <c r="D13" s="4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45"/>
      <c r="C14" s="45"/>
      <c r="D14" s="4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45"/>
      <c r="C15" s="45"/>
      <c r="D15" s="4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45"/>
      <c r="C16" s="45"/>
      <c r="D16" s="4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45"/>
      <c r="C17" s="45"/>
      <c r="D17" s="4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45"/>
      <c r="C18" s="45"/>
      <c r="D18" s="4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45"/>
      <c r="C19" s="45"/>
      <c r="D19" s="4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45"/>
      <c r="C20" s="45"/>
      <c r="D20" s="4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45"/>
      <c r="C21" s="45"/>
      <c r="D21" s="4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45"/>
      <c r="C22" s="45"/>
      <c r="D22" s="4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45"/>
      <c r="C23" s="45"/>
      <c r="D23" s="4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45"/>
      <c r="C24" s="45"/>
      <c r="D24" s="4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46" t="s">
        <v>70</v>
      </c>
      <c r="C25" s="47"/>
      <c r="D25" s="47">
        <f>SUM(D7:D24)</f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5" t="s">
        <v>71</v>
      </c>
      <c r="C27" s="35"/>
      <c r="D27" s="48">
        <f>D25-'1. START'!F13</f>
        <v>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</sheetData>
  <dataValidations count="2">
    <dataValidation type="list" allowBlank="1" showErrorMessage="1" sqref="C1" xr:uid="{00000000-0002-0000-0300-000000000000}">
      <formula1>"USD,EUR"</formula1>
    </dataValidation>
    <dataValidation type="list" allowBlank="1" sqref="B7:B24" xr:uid="{00000000-0002-0000-0300-000001000000}">
      <formula1>"Branding,Equipment,Product development,Sales &amp; Marketing,Human Resource,Legal &amp; Admin,Other"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Z990"/>
  <sheetViews>
    <sheetView showGridLines="0" workbookViewId="0"/>
  </sheetViews>
  <sheetFormatPr defaultColWidth="12.5703125" defaultRowHeight="15.75" customHeight="1"/>
  <cols>
    <col min="1" max="1" width="3.85546875" customWidth="1"/>
    <col min="2" max="2" width="21.28515625" customWidth="1"/>
    <col min="3" max="3" width="25.42578125" customWidth="1"/>
    <col min="4" max="6" width="26.42578125" customWidth="1"/>
    <col min="7" max="7" width="20.7109375" customWidth="1"/>
  </cols>
  <sheetData>
    <row r="1" spans="1:26" ht="12.7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3.25">
      <c r="A3" s="3"/>
      <c r="B3" s="16" t="s">
        <v>72</v>
      </c>
      <c r="C3" s="16"/>
      <c r="D3" s="16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51">
      <c r="A5" s="3"/>
      <c r="B5" s="49"/>
      <c r="C5" s="49" t="s">
        <v>73</v>
      </c>
      <c r="D5" s="49" t="s">
        <v>74</v>
      </c>
      <c r="E5" s="49" t="s">
        <v>75</v>
      </c>
      <c r="F5" s="49" t="s">
        <v>76</v>
      </c>
      <c r="G5" s="49" t="s">
        <v>77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>
      <c r="A6" s="3"/>
      <c r="B6" s="50" t="s">
        <v>78</v>
      </c>
      <c r="C6" s="50" t="s">
        <v>79</v>
      </c>
      <c r="D6" s="50" t="s">
        <v>80</v>
      </c>
      <c r="E6" s="50" t="s">
        <v>81</v>
      </c>
      <c r="F6" s="50" t="s">
        <v>82</v>
      </c>
      <c r="G6" s="50" t="s">
        <v>83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2.75">
      <c r="A7" s="3"/>
      <c r="B7" s="52" t="str">
        <f>'1. START'!F4</f>
        <v>[Founder 1]</v>
      </c>
      <c r="C7" s="5"/>
      <c r="D7" s="53"/>
      <c r="E7" s="52"/>
      <c r="F7" s="52"/>
      <c r="G7" s="5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>
      <c r="A8" s="3"/>
      <c r="B8" s="52" t="str">
        <f>'1. START'!F5</f>
        <v>[Founder 2]</v>
      </c>
      <c r="C8" s="5"/>
      <c r="D8" s="53"/>
      <c r="E8" s="52"/>
      <c r="F8" s="52"/>
      <c r="G8" s="5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>
      <c r="A9" s="3"/>
      <c r="B9" s="52" t="str">
        <f>'1. START'!F6</f>
        <v>[Founder 3]</v>
      </c>
      <c r="C9" s="5"/>
      <c r="D9" s="53"/>
      <c r="E9" s="52"/>
      <c r="F9" s="52"/>
      <c r="G9" s="5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>
      <c r="A10" s="3"/>
      <c r="B10" s="52" t="str">
        <f>'1. START'!F7</f>
        <v>[Founder 4]</v>
      </c>
      <c r="C10" s="5"/>
      <c r="D10" s="53"/>
      <c r="E10" s="52"/>
      <c r="F10" s="52"/>
      <c r="G10" s="5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>
      <c r="A11" s="3"/>
      <c r="B11" s="52">
        <f>'1. START'!F8</f>
        <v>0</v>
      </c>
      <c r="C11" s="52"/>
      <c r="D11" s="54"/>
      <c r="E11" s="52"/>
      <c r="F11" s="52"/>
      <c r="G11" s="5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3.25">
      <c r="A14" s="3"/>
      <c r="B14" s="16" t="s">
        <v>84</v>
      </c>
      <c r="C14" s="16"/>
      <c r="D14" s="16"/>
      <c r="E14" s="16"/>
      <c r="F14" s="1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>
      <c r="A15" s="29"/>
      <c r="B15" s="55"/>
      <c r="C15" s="55"/>
      <c r="D15" s="56"/>
      <c r="E15" s="55"/>
      <c r="F15" s="55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57"/>
    </row>
    <row r="16" spans="1:26" ht="25.5">
      <c r="A16" s="3"/>
      <c r="B16" s="50" t="s">
        <v>85</v>
      </c>
      <c r="C16" s="50" t="s">
        <v>86</v>
      </c>
      <c r="D16" s="58"/>
      <c r="E16" s="50" t="s">
        <v>87</v>
      </c>
      <c r="F16" s="50" t="s">
        <v>88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6" ht="75.75" customHeight="1">
      <c r="A17" s="3"/>
      <c r="B17" s="52"/>
      <c r="C17" s="5"/>
      <c r="D17" s="59"/>
      <c r="E17" s="52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6" ht="92.25" customHeight="1">
      <c r="A18" s="3"/>
      <c r="B18" s="60"/>
      <c r="C18" s="59"/>
      <c r="D18" s="59"/>
      <c r="E18" s="60"/>
      <c r="F18" s="5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6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dataValidations count="1">
    <dataValidation type="list" allowBlank="1" sqref="E7:E11" xr:uid="{00000000-0002-0000-0400-000000000000}">
      <formula1>"Full-time: 40hrs+/wk,Part-time: 20-40hrs/wk,Consultative 0-20hrs/wk"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showGridLines="0" workbookViewId="0"/>
  </sheetViews>
  <sheetFormatPr defaultColWidth="12.5703125" defaultRowHeight="15.75" customHeight="1"/>
  <cols>
    <col min="1" max="1" width="12.5703125" customWidth="1"/>
    <col min="2" max="2" width="72.28515625" customWidth="1"/>
    <col min="3" max="8" width="19.7109375" customWidth="1"/>
  </cols>
  <sheetData>
    <row r="1" spans="1:24">
      <c r="A1" s="1"/>
      <c r="B1" s="1"/>
      <c r="C1" s="1"/>
      <c r="D1" s="1"/>
      <c r="E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>
      <c r="A2" s="1"/>
      <c r="B2" s="2"/>
      <c r="C2" s="1"/>
      <c r="D2" s="1"/>
      <c r="E2" s="1"/>
      <c r="F2" s="2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1"/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1"/>
      <c r="B4" s="64" t="s">
        <v>89</v>
      </c>
      <c r="C4" s="63"/>
      <c r="D4" s="63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>
      <c r="A5" s="1"/>
      <c r="B5" s="65" t="s">
        <v>90</v>
      </c>
      <c r="C5" s="63"/>
      <c r="D5" s="63"/>
      <c r="E5" s="63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4">
      <c r="A6" s="1"/>
      <c r="B6" s="1"/>
      <c r="C6" s="1"/>
      <c r="D6" s="1"/>
      <c r="E6" s="1"/>
      <c r="F6" s="1"/>
      <c r="G6" s="1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1"/>
      <c r="B7" s="61" t="s">
        <v>91</v>
      </c>
      <c r="C7" s="1"/>
      <c r="D7" s="1"/>
      <c r="E7" s="1"/>
      <c r="F7" s="1"/>
      <c r="G7" s="1"/>
      <c r="H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1"/>
      <c r="B8" s="1"/>
      <c r="C8" s="1"/>
      <c r="D8" s="1"/>
      <c r="E8" s="1"/>
      <c r="F8" s="1"/>
      <c r="G8" s="1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1"/>
      <c r="B9" s="1"/>
      <c r="C9" s="1"/>
      <c r="D9" s="1"/>
      <c r="E9" s="1"/>
      <c r="F9" s="1"/>
      <c r="G9" s="1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1"/>
      <c r="B10" s="1"/>
      <c r="C10" s="1"/>
      <c r="D10" s="1"/>
      <c r="E10" s="1"/>
      <c r="F10" s="1"/>
      <c r="G10" s="1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>
      <c r="A11" s="1"/>
      <c r="B11" s="65" t="s">
        <v>92</v>
      </c>
      <c r="C11" s="63"/>
      <c r="D11" s="63"/>
      <c r="E11" s="63"/>
      <c r="F11" s="1"/>
      <c r="G11" s="1"/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1"/>
      <c r="C12" s="1"/>
      <c r="D12" s="1"/>
      <c r="E12" s="1"/>
      <c r="F12" s="1"/>
      <c r="G12" s="1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1"/>
      <c r="B13" s="1" t="s">
        <v>93</v>
      </c>
      <c r="C13" s="1"/>
      <c r="D13" s="1"/>
      <c r="E13" s="1"/>
      <c r="F13" s="1"/>
      <c r="G13" s="1"/>
      <c r="H13" s="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1"/>
      <c r="B14" s="1"/>
      <c r="C14" s="1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4">
      <c r="A15" s="1"/>
      <c r="B15" s="1"/>
      <c r="C15" s="1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4">
      <c r="A16" s="1"/>
      <c r="B16" s="1"/>
      <c r="C16" s="1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4">
      <c r="A17" s="1"/>
      <c r="B17" s="1"/>
      <c r="C17" s="1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4">
      <c r="A18" s="1"/>
      <c r="B18" s="1"/>
      <c r="C18" s="1"/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4">
      <c r="A19" s="1"/>
      <c r="B19" s="1"/>
      <c r="C19" s="1"/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4">
      <c r="A20" s="1"/>
      <c r="B20" s="1"/>
      <c r="C20" s="1"/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4">
      <c r="A21" s="1"/>
      <c r="B21" s="1"/>
      <c r="C21" s="1"/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4">
      <c r="A22" s="1"/>
      <c r="B22" s="1"/>
      <c r="C22" s="1"/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4">
      <c r="A23" s="1"/>
      <c r="B23" s="1"/>
      <c r="C23" s="1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4">
      <c r="A24" s="1"/>
      <c r="B24" s="1"/>
      <c r="C24" s="1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4">
      <c r="A25" s="1"/>
      <c r="B25" s="1" t="s">
        <v>94</v>
      </c>
      <c r="C25" s="1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4">
      <c r="A26" s="1"/>
      <c r="B26" s="1"/>
      <c r="C26" s="1"/>
      <c r="D26" s="1"/>
      <c r="E26" s="1"/>
      <c r="F26" s="1"/>
      <c r="G26" s="1"/>
      <c r="H26" s="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1"/>
      <c r="B27" s="1" t="s">
        <v>95</v>
      </c>
      <c r="C27" s="1"/>
      <c r="D27" s="1"/>
      <c r="E27" s="1"/>
      <c r="F27" s="1"/>
      <c r="G27" s="1"/>
      <c r="H27" s="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1"/>
      <c r="B28" s="1"/>
      <c r="C28" s="1"/>
      <c r="D28" s="1"/>
      <c r="E28" s="1"/>
      <c r="F28" s="1"/>
      <c r="G28" s="1"/>
      <c r="H28" s="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1"/>
      <c r="B29" s="1" t="s">
        <v>96</v>
      </c>
      <c r="C29" s="1"/>
      <c r="D29" s="1"/>
      <c r="E29" s="1"/>
      <c r="F29" s="1"/>
      <c r="G29" s="1"/>
      <c r="H29" s="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3" t="s">
        <v>97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2.75"/>
    <row r="228" spans="1:24" ht="12.75"/>
    <row r="229" spans="1:24" ht="12.75"/>
    <row r="230" spans="1:24" ht="12.75"/>
    <row r="231" spans="1:24" ht="12.75"/>
    <row r="232" spans="1:24" ht="12.75"/>
    <row r="233" spans="1:24" ht="12.75"/>
    <row r="234" spans="1:24" ht="12.75"/>
    <row r="235" spans="1:24" ht="12.75"/>
    <row r="236" spans="1:24" ht="12.75"/>
    <row r="237" spans="1:24" ht="12.75"/>
    <row r="238" spans="1:24" ht="12.75"/>
    <row r="239" spans="1:24" ht="12.75"/>
    <row r="240" spans="1:24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3">
    <mergeCell ref="B4:D4"/>
    <mergeCell ref="B5:E5"/>
    <mergeCell ref="B11:E11"/>
  </mergeCells>
  <hyperlinks>
    <hyperlink ref="B7" r:id="rId1" xr:uid="{00000000-0004-0000-05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START</vt:lpstr>
      <vt:lpstr>2. Customer and Product</vt:lpstr>
      <vt:lpstr>3. Market Sizing 2</vt:lpstr>
      <vt:lpstr>4. Uses of Funds</vt:lpstr>
      <vt:lpstr>5. Team and Org.</vt:lpstr>
      <vt:lpstr>6.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Sanju RMAGAR</cp:lastModifiedBy>
  <dcterms:modified xsi:type="dcterms:W3CDTF">2026-05-20T14:37:50Z</dcterms:modified>
</cp:coreProperties>
</file>